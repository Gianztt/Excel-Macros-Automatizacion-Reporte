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SUS\Downloads\"/>
    </mc:Choice>
  </mc:AlternateContent>
  <xr:revisionPtr revIDLastSave="0" documentId="13_ncr:1_{7167965C-BF50-41C3-8E3C-E04AA11C78D8}" xr6:coauthVersionLast="47" xr6:coauthVersionMax="47" xr10:uidLastSave="{00000000-0000-0000-0000-000000000000}"/>
  <bookViews>
    <workbookView xWindow="-120" yWindow="-120" windowWidth="29040" windowHeight="15720" xr2:uid="{656FF8EB-298B-4D7C-942C-BA4665C1F3AE}"/>
  </bookViews>
  <sheets>
    <sheet name="Resumen" sheetId="6" r:id="rId1"/>
    <sheet name="Ventas" sheetId="1" r:id="rId2"/>
  </sheets>
  <calcPr calcId="191029"/>
  <pivotCaches>
    <pivotCache cacheId="19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6" i="1" l="1"/>
  <c r="I46" i="1"/>
  <c r="H46" i="1"/>
  <c r="J45" i="1"/>
  <c r="I45" i="1"/>
  <c r="H45" i="1"/>
  <c r="J44" i="1"/>
  <c r="I44" i="1"/>
  <c r="H44" i="1"/>
  <c r="J43" i="1"/>
  <c r="I43" i="1"/>
  <c r="H43" i="1"/>
  <c r="J42" i="1"/>
  <c r="I42" i="1"/>
  <c r="H42" i="1"/>
  <c r="J41" i="1"/>
  <c r="I41" i="1"/>
  <c r="H41" i="1"/>
  <c r="J40" i="1"/>
  <c r="I40" i="1"/>
  <c r="H40" i="1"/>
  <c r="J39" i="1"/>
  <c r="I39" i="1"/>
  <c r="H39" i="1"/>
  <c r="J38" i="1"/>
  <c r="I38" i="1"/>
  <c r="H38" i="1"/>
  <c r="J37" i="1"/>
  <c r="I37" i="1"/>
  <c r="H37" i="1"/>
  <c r="J36" i="1"/>
  <c r="I36" i="1"/>
  <c r="H36" i="1"/>
  <c r="J35" i="1"/>
  <c r="I35" i="1"/>
  <c r="H35" i="1"/>
  <c r="J34" i="1"/>
  <c r="I34" i="1"/>
  <c r="H34" i="1"/>
  <c r="J33" i="1"/>
  <c r="I33" i="1"/>
  <c r="H33" i="1"/>
  <c r="J32" i="1"/>
  <c r="I32" i="1"/>
  <c r="H32" i="1"/>
  <c r="J31" i="1"/>
  <c r="I31" i="1"/>
  <c r="H31" i="1"/>
  <c r="J30" i="1"/>
  <c r="I30" i="1"/>
  <c r="H30" i="1"/>
  <c r="J29" i="1"/>
  <c r="I29" i="1"/>
  <c r="H29" i="1"/>
  <c r="J28" i="1"/>
  <c r="I28" i="1"/>
  <c r="H28" i="1"/>
  <c r="J27" i="1"/>
  <c r="I27" i="1"/>
  <c r="H27" i="1"/>
  <c r="J26" i="1"/>
  <c r="I26" i="1"/>
  <c r="H26" i="1"/>
  <c r="J25" i="1"/>
  <c r="I25" i="1"/>
  <c r="H25" i="1"/>
  <c r="J24" i="1"/>
  <c r="I24" i="1"/>
  <c r="H24" i="1"/>
  <c r="J23" i="1"/>
  <c r="I23" i="1"/>
  <c r="H23" i="1"/>
  <c r="J22" i="1"/>
  <c r="I22" i="1"/>
  <c r="H22" i="1"/>
  <c r="J21" i="1"/>
  <c r="I21" i="1"/>
  <c r="H21" i="1"/>
  <c r="J20" i="1"/>
  <c r="I20" i="1"/>
  <c r="H20" i="1"/>
  <c r="J19" i="1"/>
  <c r="I19" i="1"/>
  <c r="H19" i="1"/>
  <c r="J18" i="1"/>
  <c r="I18" i="1"/>
  <c r="H18" i="1"/>
  <c r="J17" i="1"/>
  <c r="I17" i="1"/>
  <c r="H17" i="1"/>
  <c r="J16" i="1"/>
  <c r="I16" i="1"/>
  <c r="H16" i="1"/>
  <c r="J15" i="1"/>
  <c r="I15" i="1"/>
  <c r="H15" i="1"/>
  <c r="J14" i="1"/>
  <c r="I14" i="1"/>
  <c r="H14" i="1"/>
  <c r="J13" i="1"/>
  <c r="I13" i="1"/>
  <c r="H13" i="1"/>
  <c r="J12" i="1"/>
  <c r="I12" i="1"/>
  <c r="H12" i="1"/>
  <c r="J11" i="1"/>
  <c r="I11" i="1"/>
  <c r="H11" i="1"/>
  <c r="J10" i="1"/>
  <c r="I10" i="1"/>
  <c r="H10" i="1"/>
  <c r="J9" i="1"/>
  <c r="I9" i="1"/>
  <c r="H9" i="1"/>
  <c r="J8" i="1"/>
  <c r="I8" i="1"/>
  <c r="H8" i="1"/>
  <c r="J7" i="1"/>
  <c r="I7" i="1"/>
  <c r="H7" i="1"/>
  <c r="J6" i="1"/>
  <c r="I6" i="1"/>
  <c r="H6" i="1"/>
  <c r="J5" i="1"/>
  <c r="I5" i="1"/>
  <c r="H5" i="1"/>
  <c r="J4" i="1"/>
  <c r="I4" i="1"/>
  <c r="H4" i="1"/>
  <c r="J3" i="1"/>
  <c r="I3" i="1"/>
  <c r="H3" i="1"/>
  <c r="J2" i="1"/>
  <c r="I2" i="1"/>
  <c r="H2" i="1"/>
</calcChain>
</file>

<file path=xl/sharedStrings.xml><?xml version="1.0" encoding="utf-8"?>
<sst xmlns="http://schemas.openxmlformats.org/spreadsheetml/2006/main" count="107" uniqueCount="20">
  <si>
    <t>Fecha</t>
  </si>
  <si>
    <t>Región</t>
  </si>
  <si>
    <t>Producto</t>
  </si>
  <si>
    <t>Unidades</t>
  </si>
  <si>
    <t>Precio</t>
  </si>
  <si>
    <t>Descuento</t>
  </si>
  <si>
    <t>Costo Unitario</t>
  </si>
  <si>
    <t>Norte</t>
  </si>
  <si>
    <t>Producto A</t>
  </si>
  <si>
    <t>Sur</t>
  </si>
  <si>
    <t>Producto B</t>
  </si>
  <si>
    <t>Este</t>
  </si>
  <si>
    <t>Producto C</t>
  </si>
  <si>
    <t>Oeste</t>
  </si>
  <si>
    <t>Margen</t>
  </si>
  <si>
    <t>Ingreso Total</t>
  </si>
  <si>
    <t>Descuento Total</t>
  </si>
  <si>
    <t>Etiquetas de fila</t>
  </si>
  <si>
    <t>Total general</t>
  </si>
  <si>
    <t>Suma de Ingreso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</si>
</sst>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[ReporteVentas.xlsm]Resumen!VentasPorRegion_102401</c:name>
    <c:fmtId val="0"/>
  </c:pivotSource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Resumen!$B$3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Resumen!$A$4:$A$8</c:f>
              <c:strCache>
                <c:ptCount val="4"/>
                <c:pt idx="0">
                  <c:v>Este</c:v>
                </c:pt>
                <c:pt idx="1">
                  <c:v>Norte</c:v>
                </c:pt>
                <c:pt idx="2">
                  <c:v>Oeste</c:v>
                </c:pt>
                <c:pt idx="3">
                  <c:v>Sur</c:v>
                </c:pt>
              </c:strCache>
            </c:strRef>
          </c:cat>
          <c:val>
            <c:numRef>
              <c:f>Resumen!$B$4:$B$8</c:f>
              <c:numCache>
                <c:formatCode>#,##0</c:formatCode>
                <c:ptCount val="4"/>
                <c:pt idx="0">
                  <c:v>4950</c:v>
                </c:pt>
                <c:pt idx="1">
                  <c:v>11250</c:v>
                </c:pt>
                <c:pt idx="2">
                  <c:v>4350</c:v>
                </c:pt>
                <c:pt idx="3">
                  <c:v>10500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20-49ED-A621-8367343D2E7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291429967"/>
        <c:axId val="1291422767"/>
      </c:barChart>
      <c:catAx>
        <c:axId val="1291429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291422767"/>
        <c:crosses val="autoZero"/>
        <c:auto val="1"/>
        <c:lblAlgn val="ctr"/>
        <c:lblOffset val="100"/>
        <c:noMultiLvlLbl val="0"/>
      </c:catAx>
      <c:valAx>
        <c:axId val="1291422767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crossAx val="1291429967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466725</xdr:colOff>
      <xdr:row>2</xdr:row>
      <xdr:rowOff>0</xdr:rowOff>
    </xdr:from>
    <xdr:to>
      <xdr:col>11</xdr:col>
      <xdr:colOff>720725</xdr:colOff>
      <xdr:row>22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67C84F8-3876-70DA-A5C4-DBCB0B0FAF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476250</xdr:colOff>
          <xdr:row>8</xdr:row>
          <xdr:rowOff>47625</xdr:rowOff>
        </xdr:from>
        <xdr:to>
          <xdr:col>17</xdr:col>
          <xdr:colOff>238125</xdr:colOff>
          <xdr:row>14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Generar Reporte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SUS" refreshedDate="45873.433353587963" createdVersion="3" refreshedVersion="8" minRefreshableVersion="3" recordCount="45" xr:uid="{B2DC0D90-DB73-43D0-8E3B-6CF2CF7A6DE5}">
  <cacheSource type="worksheet">
    <worksheetSource ref="A1:J46" sheet="Ventas"/>
  </cacheSource>
  <cacheFields count="10">
    <cacheField name="Fecha" numFmtId="14">
      <sharedItems containsSemiMixedTypes="0" containsNonDate="0" containsDate="1" containsString="0" minDate="2025-01-01T00:00:00" maxDate="2025-03-16T00:00:00"/>
    </cacheField>
    <cacheField name="Región" numFmtId="0">
      <sharedItems count="4">
        <s v="Norte"/>
        <s v="Sur"/>
        <s v="Este"/>
        <s v="Oeste"/>
      </sharedItems>
    </cacheField>
    <cacheField name="Producto" numFmtId="0">
      <sharedItems/>
    </cacheField>
    <cacheField name="Unidades" numFmtId="0">
      <sharedItems containsSemiMixedTypes="0" containsString="0" containsNumber="1" containsInteger="1" minValue="1" maxValue="10"/>
    </cacheField>
    <cacheField name="Precio" numFmtId="0">
      <sharedItems containsSemiMixedTypes="0" containsString="0" containsNumber="1" containsInteger="1" minValue="100" maxValue="200"/>
    </cacheField>
    <cacheField name="Descuento" numFmtId="0">
      <sharedItems containsSemiMixedTypes="0" containsString="0" containsNumber="1" minValue="0" maxValue="0.1"/>
    </cacheField>
    <cacheField name="Costo Unitario" numFmtId="0">
      <sharedItems containsSemiMixedTypes="0" containsString="0" containsNumber="1" containsInteger="1" minValue="50" maxValue="120"/>
    </cacheField>
    <cacheField name="Margen" numFmtId="0">
      <sharedItems containsSemiMixedTypes="0" containsString="0" containsNumber="1" minValue="0.4" maxValue="0.5"/>
    </cacheField>
    <cacheField name="Ingreso Total" numFmtId="0">
      <sharedItems containsSemiMixedTypes="0" containsString="0" containsNumber="1" containsInteger="1" minValue="100" maxValue="2000"/>
    </cacheField>
    <cacheField name="Descuento Total" numFmtId="0">
      <sharedItems containsSemiMixedTypes="0" containsString="0" containsNumber="1" containsInteger="1" minValue="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">
  <r>
    <d v="2025-01-01T00:00:00"/>
    <x v="0"/>
    <s v="Producto A"/>
    <n v="10"/>
    <n v="200"/>
    <n v="0.05"/>
    <n v="120"/>
    <n v="0.4"/>
    <n v="2000"/>
    <n v="100"/>
  </r>
  <r>
    <d v="2025-01-02T00:00:00"/>
    <x v="1"/>
    <s v="Producto B"/>
    <n v="5"/>
    <n v="150"/>
    <n v="0.1"/>
    <n v="80"/>
    <n v="0.46666666666666667"/>
    <n v="750"/>
    <n v="75"/>
  </r>
  <r>
    <d v="2025-01-03T00:00:00"/>
    <x v="2"/>
    <s v="Producto C"/>
    <n v="1"/>
    <n v="100"/>
    <n v="0"/>
    <n v="50"/>
    <n v="0.5"/>
    <n v="100"/>
    <n v="0"/>
  </r>
  <r>
    <d v="2025-01-04T00:00:00"/>
    <x v="3"/>
    <s v="Producto A"/>
    <n v="3"/>
    <n v="200"/>
    <n v="0.05"/>
    <n v="120"/>
    <n v="0.4"/>
    <n v="600"/>
    <n v="30"/>
  </r>
  <r>
    <d v="2025-01-05T00:00:00"/>
    <x v="0"/>
    <s v="Producto B"/>
    <n v="5"/>
    <n v="150"/>
    <n v="0.1"/>
    <n v="80"/>
    <n v="0.46666666666666667"/>
    <n v="750"/>
    <n v="75"/>
  </r>
  <r>
    <d v="2025-01-06T00:00:00"/>
    <x v="1"/>
    <s v="Producto C"/>
    <n v="6"/>
    <n v="100"/>
    <n v="0"/>
    <n v="50"/>
    <n v="0.5"/>
    <n v="600"/>
    <n v="0"/>
  </r>
  <r>
    <d v="2025-01-07T00:00:00"/>
    <x v="2"/>
    <s v="Producto A"/>
    <n v="7"/>
    <n v="200"/>
    <n v="0.05"/>
    <n v="120"/>
    <n v="0.4"/>
    <n v="1400"/>
    <n v="70"/>
  </r>
  <r>
    <d v="2025-01-08T00:00:00"/>
    <x v="3"/>
    <s v="Producto B"/>
    <n v="1"/>
    <n v="150"/>
    <n v="0.1"/>
    <n v="80"/>
    <n v="0.46666666666666667"/>
    <n v="150"/>
    <n v="15"/>
  </r>
  <r>
    <d v="2025-01-09T00:00:00"/>
    <x v="0"/>
    <s v="Producto C"/>
    <n v="2"/>
    <n v="100"/>
    <n v="0"/>
    <n v="50"/>
    <n v="0.5"/>
    <n v="200"/>
    <n v="0"/>
  </r>
  <r>
    <d v="2025-01-10T00:00:00"/>
    <x v="1"/>
    <s v="Producto A"/>
    <n v="5"/>
    <n v="200"/>
    <n v="0.05"/>
    <n v="120"/>
    <n v="0.4"/>
    <n v="1000"/>
    <n v="50"/>
  </r>
  <r>
    <d v="2025-01-11T00:00:00"/>
    <x v="2"/>
    <s v="Producto B"/>
    <n v="1"/>
    <n v="150"/>
    <n v="0.1"/>
    <n v="80"/>
    <n v="0.46666666666666667"/>
    <n v="150"/>
    <n v="15"/>
  </r>
  <r>
    <d v="2025-01-12T00:00:00"/>
    <x v="3"/>
    <s v="Producto C"/>
    <n v="7"/>
    <n v="100"/>
    <n v="0"/>
    <n v="50"/>
    <n v="0.5"/>
    <n v="700"/>
    <n v="0"/>
  </r>
  <r>
    <d v="2025-01-13T00:00:00"/>
    <x v="0"/>
    <s v="Producto A"/>
    <n v="4"/>
    <n v="200"/>
    <n v="0.05"/>
    <n v="120"/>
    <n v="0.4"/>
    <n v="800"/>
    <n v="40"/>
  </r>
  <r>
    <d v="2025-01-14T00:00:00"/>
    <x v="1"/>
    <s v="Producto B"/>
    <n v="3"/>
    <n v="150"/>
    <n v="0.1"/>
    <n v="80"/>
    <n v="0.46666666666666667"/>
    <n v="450"/>
    <n v="45"/>
  </r>
  <r>
    <d v="2025-01-15T00:00:00"/>
    <x v="1"/>
    <s v="Producto C"/>
    <n v="7"/>
    <n v="100"/>
    <n v="0"/>
    <n v="50"/>
    <n v="0.5"/>
    <n v="700"/>
    <n v="0"/>
  </r>
  <r>
    <d v="2025-02-01T00:00:00"/>
    <x v="0"/>
    <s v="Producto A"/>
    <n v="10"/>
    <n v="200"/>
    <n v="0.05"/>
    <n v="120"/>
    <n v="0.4"/>
    <n v="2000"/>
    <n v="100"/>
  </r>
  <r>
    <d v="2025-02-02T00:00:00"/>
    <x v="1"/>
    <s v="Producto B"/>
    <n v="5"/>
    <n v="150"/>
    <n v="0.1"/>
    <n v="80"/>
    <n v="0.46666666666666667"/>
    <n v="750"/>
    <n v="75"/>
  </r>
  <r>
    <d v="2025-02-03T00:00:00"/>
    <x v="2"/>
    <s v="Producto C"/>
    <n v="1"/>
    <n v="100"/>
    <n v="0"/>
    <n v="50"/>
    <n v="0.5"/>
    <n v="100"/>
    <n v="0"/>
  </r>
  <r>
    <d v="2025-02-04T00:00:00"/>
    <x v="3"/>
    <s v="Producto A"/>
    <n v="3"/>
    <n v="200"/>
    <n v="0.05"/>
    <n v="120"/>
    <n v="0.4"/>
    <n v="600"/>
    <n v="30"/>
  </r>
  <r>
    <d v="2025-02-05T00:00:00"/>
    <x v="0"/>
    <s v="Producto B"/>
    <n v="5"/>
    <n v="150"/>
    <n v="0.1"/>
    <n v="80"/>
    <n v="0.46666666666666667"/>
    <n v="750"/>
    <n v="75"/>
  </r>
  <r>
    <d v="2025-02-06T00:00:00"/>
    <x v="1"/>
    <s v="Producto C"/>
    <n v="6"/>
    <n v="100"/>
    <n v="0"/>
    <n v="50"/>
    <n v="0.5"/>
    <n v="600"/>
    <n v="0"/>
  </r>
  <r>
    <d v="2025-02-07T00:00:00"/>
    <x v="2"/>
    <s v="Producto A"/>
    <n v="7"/>
    <n v="200"/>
    <n v="0.05"/>
    <n v="120"/>
    <n v="0.4"/>
    <n v="1400"/>
    <n v="70"/>
  </r>
  <r>
    <d v="2025-02-08T00:00:00"/>
    <x v="3"/>
    <s v="Producto B"/>
    <n v="1"/>
    <n v="150"/>
    <n v="0.1"/>
    <n v="80"/>
    <n v="0.46666666666666667"/>
    <n v="150"/>
    <n v="15"/>
  </r>
  <r>
    <d v="2025-02-09T00:00:00"/>
    <x v="0"/>
    <s v="Producto C"/>
    <n v="2"/>
    <n v="100"/>
    <n v="0"/>
    <n v="50"/>
    <n v="0.5"/>
    <n v="200"/>
    <n v="0"/>
  </r>
  <r>
    <d v="2025-02-10T00:00:00"/>
    <x v="1"/>
    <s v="Producto A"/>
    <n v="5"/>
    <n v="200"/>
    <n v="0.05"/>
    <n v="120"/>
    <n v="0.4"/>
    <n v="1000"/>
    <n v="50"/>
  </r>
  <r>
    <d v="2025-02-11T00:00:00"/>
    <x v="2"/>
    <s v="Producto B"/>
    <n v="1"/>
    <n v="150"/>
    <n v="0.1"/>
    <n v="80"/>
    <n v="0.46666666666666667"/>
    <n v="150"/>
    <n v="15"/>
  </r>
  <r>
    <d v="2025-02-12T00:00:00"/>
    <x v="3"/>
    <s v="Producto C"/>
    <n v="7"/>
    <n v="100"/>
    <n v="0"/>
    <n v="50"/>
    <n v="0.5"/>
    <n v="700"/>
    <n v="0"/>
  </r>
  <r>
    <d v="2025-02-13T00:00:00"/>
    <x v="0"/>
    <s v="Producto A"/>
    <n v="4"/>
    <n v="200"/>
    <n v="0.05"/>
    <n v="120"/>
    <n v="0.4"/>
    <n v="800"/>
    <n v="40"/>
  </r>
  <r>
    <d v="2025-02-14T00:00:00"/>
    <x v="1"/>
    <s v="Producto B"/>
    <n v="3"/>
    <n v="150"/>
    <n v="0.1"/>
    <n v="80"/>
    <n v="0.46666666666666667"/>
    <n v="450"/>
    <n v="45"/>
  </r>
  <r>
    <d v="2025-02-15T00:00:00"/>
    <x v="1"/>
    <s v="Producto C"/>
    <n v="7"/>
    <n v="100"/>
    <n v="0"/>
    <n v="50"/>
    <n v="0.5"/>
    <n v="700"/>
    <n v="0"/>
  </r>
  <r>
    <d v="2025-03-01T00:00:00"/>
    <x v="0"/>
    <s v="Producto A"/>
    <n v="10"/>
    <n v="200"/>
    <n v="0.05"/>
    <n v="120"/>
    <n v="0.4"/>
    <n v="2000"/>
    <n v="100"/>
  </r>
  <r>
    <d v="2025-03-02T00:00:00"/>
    <x v="1"/>
    <s v="Producto B"/>
    <n v="5"/>
    <n v="150"/>
    <n v="0.1"/>
    <n v="80"/>
    <n v="0.46666666666666667"/>
    <n v="750"/>
    <n v="75"/>
  </r>
  <r>
    <d v="2025-03-03T00:00:00"/>
    <x v="2"/>
    <s v="Producto C"/>
    <n v="1"/>
    <n v="100"/>
    <n v="0"/>
    <n v="50"/>
    <n v="0.5"/>
    <n v="100"/>
    <n v="0"/>
  </r>
  <r>
    <d v="2025-03-04T00:00:00"/>
    <x v="3"/>
    <s v="Producto A"/>
    <n v="3"/>
    <n v="200"/>
    <n v="0.05"/>
    <n v="120"/>
    <n v="0.4"/>
    <n v="600"/>
    <n v="30"/>
  </r>
  <r>
    <d v="2025-03-05T00:00:00"/>
    <x v="0"/>
    <s v="Producto B"/>
    <n v="5"/>
    <n v="150"/>
    <n v="0.1"/>
    <n v="80"/>
    <n v="0.46666666666666667"/>
    <n v="750"/>
    <n v="75"/>
  </r>
  <r>
    <d v="2025-03-06T00:00:00"/>
    <x v="1"/>
    <s v="Producto C"/>
    <n v="6"/>
    <n v="100"/>
    <n v="0"/>
    <n v="50"/>
    <n v="0.5"/>
    <n v="600"/>
    <n v="0"/>
  </r>
  <r>
    <d v="2025-03-07T00:00:00"/>
    <x v="2"/>
    <s v="Producto A"/>
    <n v="7"/>
    <n v="200"/>
    <n v="0.05"/>
    <n v="120"/>
    <n v="0.4"/>
    <n v="1400"/>
    <n v="70"/>
  </r>
  <r>
    <d v="2025-03-08T00:00:00"/>
    <x v="3"/>
    <s v="Producto B"/>
    <n v="1"/>
    <n v="150"/>
    <n v="0.1"/>
    <n v="80"/>
    <n v="0.46666666666666667"/>
    <n v="150"/>
    <n v="15"/>
  </r>
  <r>
    <d v="2025-03-09T00:00:00"/>
    <x v="0"/>
    <s v="Producto C"/>
    <n v="2"/>
    <n v="100"/>
    <n v="0"/>
    <n v="50"/>
    <n v="0.5"/>
    <n v="200"/>
    <n v="0"/>
  </r>
  <r>
    <d v="2025-03-10T00:00:00"/>
    <x v="1"/>
    <s v="Producto A"/>
    <n v="5"/>
    <n v="200"/>
    <n v="0.05"/>
    <n v="120"/>
    <n v="0.4"/>
    <n v="1000"/>
    <n v="50"/>
  </r>
  <r>
    <d v="2025-03-11T00:00:00"/>
    <x v="2"/>
    <s v="Producto B"/>
    <n v="1"/>
    <n v="150"/>
    <n v="0.1"/>
    <n v="80"/>
    <n v="0.46666666666666667"/>
    <n v="150"/>
    <n v="15"/>
  </r>
  <r>
    <d v="2025-03-12T00:00:00"/>
    <x v="3"/>
    <s v="Producto C"/>
    <n v="7"/>
    <n v="100"/>
    <n v="0"/>
    <n v="50"/>
    <n v="0.5"/>
    <n v="700"/>
    <n v="0"/>
  </r>
  <r>
    <d v="2025-03-13T00:00:00"/>
    <x v="0"/>
    <s v="Producto A"/>
    <n v="4"/>
    <n v="200"/>
    <n v="0.05"/>
    <n v="120"/>
    <n v="0.4"/>
    <n v="800"/>
    <n v="40"/>
  </r>
  <r>
    <d v="2025-03-14T00:00:00"/>
    <x v="1"/>
    <s v="Producto B"/>
    <n v="3"/>
    <n v="150"/>
    <n v="0.1"/>
    <n v="80"/>
    <n v="0.46666666666666667"/>
    <n v="450"/>
    <n v="45"/>
  </r>
  <r>
    <d v="2025-03-15T00:00:00"/>
    <x v="1"/>
    <s v="Producto C"/>
    <n v="7"/>
    <n v="100"/>
    <n v="0"/>
    <n v="50"/>
    <n v="0.5"/>
    <n v="70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CEB5C-8C1C-4948-8135-D49AFEE03673}" name="VentasPorRegion_102401" cacheId="19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 chartFormat="1">
  <location ref="A3:B8" firstHeaderRow="1" firstDataRow="1" firstDataCol="1"/>
  <pivotFields count="10">
    <pivotField numFmtId="14" showAll="0"/>
    <pivotField axis="axisRow" showAll="0">
      <items count="5">
        <item x="2"/>
        <item x="0"/>
        <item x="3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a de Ingreso Total" fld="8" baseField="0" baseItem="0" numFmtId="3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12D2C-92C7-43FB-9C38-1E8FEACC70E0}">
  <sheetPr codeName="Hoja6"/>
  <dimension ref="A3:B8"/>
  <sheetViews>
    <sheetView tabSelected="1" workbookViewId="0"/>
  </sheetViews>
  <sheetFormatPr baseColWidth="10" defaultRowHeight="15" x14ac:dyDescent="0.25"/>
  <cols>
    <col min="1" max="1" width="17.85546875" bestFit="1" customWidth="1"/>
    <col min="2" max="2" width="20.85546875" bestFit="1" customWidth="1"/>
  </cols>
  <sheetData>
    <row r="3" spans="1:2" x14ac:dyDescent="0.25">
      <c r="A3" s="3" t="s">
        <v>17</v>
      </c>
      <c r="B3" t="s">
        <v>19</v>
      </c>
    </row>
    <row r="4" spans="1:2" x14ac:dyDescent="0.25">
      <c r="A4" s="4" t="s">
        <v>11</v>
      </c>
      <c r="B4" s="5">
        <v>4950</v>
      </c>
    </row>
    <row r="5" spans="1:2" x14ac:dyDescent="0.25">
      <c r="A5" s="4" t="s">
        <v>7</v>
      </c>
      <c r="B5" s="5">
        <v>11250</v>
      </c>
    </row>
    <row r="6" spans="1:2" x14ac:dyDescent="0.25">
      <c r="A6" s="4" t="s">
        <v>13</v>
      </c>
      <c r="B6" s="5">
        <v>4350</v>
      </c>
    </row>
    <row r="7" spans="1:2" x14ac:dyDescent="0.25">
      <c r="A7" s="4" t="s">
        <v>9</v>
      </c>
      <c r="B7" s="5">
        <v>10500</v>
      </c>
    </row>
    <row r="8" spans="1:2" x14ac:dyDescent="0.25">
      <c r="A8" s="4" t="s">
        <v>18</v>
      </c>
      <c r="B8" s="5">
        <v>31050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2F279-4E5C-48DC-81B4-D64BC0EB95A4}">
  <sheetPr codeName="Hoja1"/>
  <dimension ref="A1:J46"/>
  <sheetViews>
    <sheetView workbookViewId="0">
      <selection activeCell="P19" sqref="P19"/>
    </sheetView>
  </sheetViews>
  <sheetFormatPr baseColWidth="10" defaultRowHeight="15" x14ac:dyDescent="0.25"/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14</v>
      </c>
      <c r="I1" t="s">
        <v>15</v>
      </c>
      <c r="J1" t="s">
        <v>16</v>
      </c>
    </row>
    <row r="2" spans="1:10" x14ac:dyDescent="0.25">
      <c r="A2" s="1">
        <v>45658</v>
      </c>
      <c r="B2" s="2" t="s">
        <v>7</v>
      </c>
      <c r="C2" s="2" t="s">
        <v>8</v>
      </c>
      <c r="D2" s="2">
        <v>10</v>
      </c>
      <c r="E2" s="2">
        <v>200</v>
      </c>
      <c r="F2" s="2">
        <v>0.05</v>
      </c>
      <c r="G2" s="2">
        <v>120</v>
      </c>
      <c r="H2">
        <f>(E2 - G2) / E2</f>
        <v>0.4</v>
      </c>
      <c r="I2">
        <f>E2*D2</f>
        <v>2000</v>
      </c>
      <c r="J2">
        <f>E2*F2*D2</f>
        <v>100</v>
      </c>
    </row>
    <row r="3" spans="1:10" x14ac:dyDescent="0.25">
      <c r="A3" s="1">
        <v>45659</v>
      </c>
      <c r="B3" t="s">
        <v>9</v>
      </c>
      <c r="C3" t="s">
        <v>10</v>
      </c>
      <c r="D3">
        <v>5</v>
      </c>
      <c r="E3">
        <v>150</v>
      </c>
      <c r="F3">
        <v>0.1</v>
      </c>
      <c r="G3">
        <v>80</v>
      </c>
      <c r="H3">
        <f>(E3 - G3) / E3</f>
        <v>0.46666666666666667</v>
      </c>
      <c r="I3">
        <f>E3*D3</f>
        <v>750</v>
      </c>
      <c r="J3">
        <f>E3*F3*D3</f>
        <v>75</v>
      </c>
    </row>
    <row r="4" spans="1:10" x14ac:dyDescent="0.25">
      <c r="A4" s="1">
        <v>45660</v>
      </c>
      <c r="B4" t="s">
        <v>11</v>
      </c>
      <c r="C4" t="s">
        <v>12</v>
      </c>
      <c r="D4">
        <v>1</v>
      </c>
      <c r="E4">
        <v>100</v>
      </c>
      <c r="F4">
        <v>0</v>
      </c>
      <c r="G4">
        <v>50</v>
      </c>
      <c r="H4">
        <f>(E4 - G4) / E4</f>
        <v>0.5</v>
      </c>
      <c r="I4">
        <f>E4*D4</f>
        <v>100</v>
      </c>
      <c r="J4">
        <f>E4*F4*D4</f>
        <v>0</v>
      </c>
    </row>
    <row r="5" spans="1:10" x14ac:dyDescent="0.25">
      <c r="A5" s="1">
        <v>45661</v>
      </c>
      <c r="B5" t="s">
        <v>13</v>
      </c>
      <c r="C5" s="2" t="s">
        <v>8</v>
      </c>
      <c r="D5">
        <v>3</v>
      </c>
      <c r="E5" s="2">
        <v>200</v>
      </c>
      <c r="F5" s="2">
        <v>0.05</v>
      </c>
      <c r="G5" s="2">
        <v>120</v>
      </c>
      <c r="H5">
        <f>(E5 - G5) / E5</f>
        <v>0.4</v>
      </c>
      <c r="I5">
        <f>E5*D5</f>
        <v>600</v>
      </c>
      <c r="J5">
        <f>E5*F5*D5</f>
        <v>30</v>
      </c>
    </row>
    <row r="6" spans="1:10" x14ac:dyDescent="0.25">
      <c r="A6" s="1">
        <v>45662</v>
      </c>
      <c r="B6" s="2" t="s">
        <v>7</v>
      </c>
      <c r="C6" t="s">
        <v>10</v>
      </c>
      <c r="D6">
        <v>5</v>
      </c>
      <c r="E6">
        <v>150</v>
      </c>
      <c r="F6">
        <v>0.1</v>
      </c>
      <c r="G6">
        <v>80</v>
      </c>
      <c r="H6">
        <f>(E6 - G6) / E6</f>
        <v>0.46666666666666667</v>
      </c>
      <c r="I6">
        <f>E6*D6</f>
        <v>750</v>
      </c>
      <c r="J6">
        <f>E6*F6*D6</f>
        <v>75</v>
      </c>
    </row>
    <row r="7" spans="1:10" x14ac:dyDescent="0.25">
      <c r="A7" s="1">
        <v>45663</v>
      </c>
      <c r="B7" t="s">
        <v>9</v>
      </c>
      <c r="C7" t="s">
        <v>12</v>
      </c>
      <c r="D7">
        <v>6</v>
      </c>
      <c r="E7">
        <v>100</v>
      </c>
      <c r="F7">
        <v>0</v>
      </c>
      <c r="G7">
        <v>50</v>
      </c>
      <c r="H7">
        <f>(E7 - G7) / E7</f>
        <v>0.5</v>
      </c>
      <c r="I7">
        <f>E7*D7</f>
        <v>600</v>
      </c>
      <c r="J7">
        <f>E7*F7*D7</f>
        <v>0</v>
      </c>
    </row>
    <row r="8" spans="1:10" x14ac:dyDescent="0.25">
      <c r="A8" s="1">
        <v>45664</v>
      </c>
      <c r="B8" t="s">
        <v>11</v>
      </c>
      <c r="C8" s="2" t="s">
        <v>8</v>
      </c>
      <c r="D8">
        <v>7</v>
      </c>
      <c r="E8" s="2">
        <v>200</v>
      </c>
      <c r="F8" s="2">
        <v>0.05</v>
      </c>
      <c r="G8" s="2">
        <v>120</v>
      </c>
      <c r="H8">
        <f>(E8 - G8) / E8</f>
        <v>0.4</v>
      </c>
      <c r="I8">
        <f>E8*D8</f>
        <v>1400</v>
      </c>
      <c r="J8">
        <f>E8*F8*D8</f>
        <v>70</v>
      </c>
    </row>
    <row r="9" spans="1:10" x14ac:dyDescent="0.25">
      <c r="A9" s="1">
        <v>45665</v>
      </c>
      <c r="B9" t="s">
        <v>13</v>
      </c>
      <c r="C9" t="s">
        <v>10</v>
      </c>
      <c r="D9">
        <v>1</v>
      </c>
      <c r="E9">
        <v>150</v>
      </c>
      <c r="F9">
        <v>0.1</v>
      </c>
      <c r="G9">
        <v>80</v>
      </c>
      <c r="H9">
        <f>(E9 - G9) / E9</f>
        <v>0.46666666666666667</v>
      </c>
      <c r="I9">
        <f>E9*D9</f>
        <v>150</v>
      </c>
      <c r="J9">
        <f>E9*F9*D9</f>
        <v>15</v>
      </c>
    </row>
    <row r="10" spans="1:10" x14ac:dyDescent="0.25">
      <c r="A10" s="1">
        <v>45666</v>
      </c>
      <c r="B10" s="2" t="s">
        <v>7</v>
      </c>
      <c r="C10" t="s">
        <v>12</v>
      </c>
      <c r="D10">
        <v>2</v>
      </c>
      <c r="E10">
        <v>100</v>
      </c>
      <c r="F10">
        <v>0</v>
      </c>
      <c r="G10">
        <v>50</v>
      </c>
      <c r="H10">
        <f>(E10 - G10) / E10</f>
        <v>0.5</v>
      </c>
      <c r="I10">
        <f>E10*D10</f>
        <v>200</v>
      </c>
      <c r="J10">
        <f>E10*F10*D10</f>
        <v>0</v>
      </c>
    </row>
    <row r="11" spans="1:10" x14ac:dyDescent="0.25">
      <c r="A11" s="1">
        <v>45667</v>
      </c>
      <c r="B11" t="s">
        <v>9</v>
      </c>
      <c r="C11" s="2" t="s">
        <v>8</v>
      </c>
      <c r="D11">
        <v>5</v>
      </c>
      <c r="E11" s="2">
        <v>200</v>
      </c>
      <c r="F11" s="2">
        <v>0.05</v>
      </c>
      <c r="G11" s="2">
        <v>120</v>
      </c>
      <c r="H11">
        <f>(E11 - G11) / E11</f>
        <v>0.4</v>
      </c>
      <c r="I11">
        <f>E11*D11</f>
        <v>1000</v>
      </c>
      <c r="J11">
        <f>E11*F11*D11</f>
        <v>50</v>
      </c>
    </row>
    <row r="12" spans="1:10" x14ac:dyDescent="0.25">
      <c r="A12" s="1">
        <v>45668</v>
      </c>
      <c r="B12" t="s">
        <v>11</v>
      </c>
      <c r="C12" t="s">
        <v>10</v>
      </c>
      <c r="D12">
        <v>1</v>
      </c>
      <c r="E12">
        <v>150</v>
      </c>
      <c r="F12">
        <v>0.1</v>
      </c>
      <c r="G12">
        <v>80</v>
      </c>
      <c r="H12">
        <f>(E12 - G12) / E12</f>
        <v>0.46666666666666667</v>
      </c>
      <c r="I12">
        <f>E12*D12</f>
        <v>150</v>
      </c>
      <c r="J12">
        <f>E12*F12*D12</f>
        <v>15</v>
      </c>
    </row>
    <row r="13" spans="1:10" x14ac:dyDescent="0.25">
      <c r="A13" s="1">
        <v>45669</v>
      </c>
      <c r="B13" t="s">
        <v>13</v>
      </c>
      <c r="C13" t="s">
        <v>12</v>
      </c>
      <c r="D13">
        <v>7</v>
      </c>
      <c r="E13">
        <v>100</v>
      </c>
      <c r="F13">
        <v>0</v>
      </c>
      <c r="G13">
        <v>50</v>
      </c>
      <c r="H13">
        <f>(E13 - G13) / E13</f>
        <v>0.5</v>
      </c>
      <c r="I13">
        <f>E13*D13</f>
        <v>700</v>
      </c>
      <c r="J13">
        <f>E13*F13*D13</f>
        <v>0</v>
      </c>
    </row>
    <row r="14" spans="1:10" x14ac:dyDescent="0.25">
      <c r="A14" s="1">
        <v>45670</v>
      </c>
      <c r="B14" s="2" t="s">
        <v>7</v>
      </c>
      <c r="C14" s="2" t="s">
        <v>8</v>
      </c>
      <c r="D14">
        <v>4</v>
      </c>
      <c r="E14" s="2">
        <v>200</v>
      </c>
      <c r="F14" s="2">
        <v>0.05</v>
      </c>
      <c r="G14" s="2">
        <v>120</v>
      </c>
      <c r="H14">
        <f>(E14 - G14) / E14</f>
        <v>0.4</v>
      </c>
      <c r="I14">
        <f>E14*D14</f>
        <v>800</v>
      </c>
      <c r="J14">
        <f>E14*F14*D14</f>
        <v>40</v>
      </c>
    </row>
    <row r="15" spans="1:10" x14ac:dyDescent="0.25">
      <c r="A15" s="1">
        <v>45671</v>
      </c>
      <c r="B15" t="s">
        <v>9</v>
      </c>
      <c r="C15" t="s">
        <v>10</v>
      </c>
      <c r="D15">
        <v>3</v>
      </c>
      <c r="E15">
        <v>150</v>
      </c>
      <c r="F15">
        <v>0.1</v>
      </c>
      <c r="G15">
        <v>80</v>
      </c>
      <c r="H15">
        <f>(E15 - G15) / E15</f>
        <v>0.46666666666666667</v>
      </c>
      <c r="I15">
        <f>E15*D15</f>
        <v>450</v>
      </c>
      <c r="J15">
        <f>E15*F15*D15</f>
        <v>45</v>
      </c>
    </row>
    <row r="16" spans="1:10" x14ac:dyDescent="0.25">
      <c r="A16" s="1">
        <v>45672</v>
      </c>
      <c r="B16" t="s">
        <v>9</v>
      </c>
      <c r="C16" t="s">
        <v>12</v>
      </c>
      <c r="D16">
        <v>7</v>
      </c>
      <c r="E16">
        <v>100</v>
      </c>
      <c r="F16">
        <v>0</v>
      </c>
      <c r="G16">
        <v>50</v>
      </c>
      <c r="H16">
        <f>(E16 - G16) / E16</f>
        <v>0.5</v>
      </c>
      <c r="I16">
        <f>E16*D16</f>
        <v>700</v>
      </c>
      <c r="J16">
        <f>E16*F16*D16</f>
        <v>0</v>
      </c>
    </row>
    <row r="17" spans="1:10" x14ac:dyDescent="0.25">
      <c r="A17" s="1">
        <v>45689</v>
      </c>
      <c r="B17" s="2" t="s">
        <v>7</v>
      </c>
      <c r="C17" s="2" t="s">
        <v>8</v>
      </c>
      <c r="D17" s="2">
        <v>10</v>
      </c>
      <c r="E17" s="2">
        <v>200</v>
      </c>
      <c r="F17" s="2">
        <v>0.05</v>
      </c>
      <c r="G17" s="2">
        <v>120</v>
      </c>
      <c r="H17">
        <f>(E17 - G17) / E17</f>
        <v>0.4</v>
      </c>
      <c r="I17">
        <f>E17*D17</f>
        <v>2000</v>
      </c>
      <c r="J17">
        <f>E17*F17*D17</f>
        <v>100</v>
      </c>
    </row>
    <row r="18" spans="1:10" x14ac:dyDescent="0.25">
      <c r="A18" s="1">
        <v>45690</v>
      </c>
      <c r="B18" t="s">
        <v>9</v>
      </c>
      <c r="C18" t="s">
        <v>10</v>
      </c>
      <c r="D18">
        <v>5</v>
      </c>
      <c r="E18">
        <v>150</v>
      </c>
      <c r="F18">
        <v>0.1</v>
      </c>
      <c r="G18">
        <v>80</v>
      </c>
      <c r="H18">
        <f>(E18 - G18) / E18</f>
        <v>0.46666666666666667</v>
      </c>
      <c r="I18">
        <f>E18*D18</f>
        <v>750</v>
      </c>
      <c r="J18">
        <f>E18*F18*D18</f>
        <v>75</v>
      </c>
    </row>
    <row r="19" spans="1:10" x14ac:dyDescent="0.25">
      <c r="A19" s="1">
        <v>45691</v>
      </c>
      <c r="B19" t="s">
        <v>11</v>
      </c>
      <c r="C19" t="s">
        <v>12</v>
      </c>
      <c r="D19">
        <v>1</v>
      </c>
      <c r="E19">
        <v>100</v>
      </c>
      <c r="F19">
        <v>0</v>
      </c>
      <c r="G19">
        <v>50</v>
      </c>
      <c r="H19">
        <f>(E19 - G19) / E19</f>
        <v>0.5</v>
      </c>
      <c r="I19">
        <f>E19*D19</f>
        <v>100</v>
      </c>
      <c r="J19">
        <f>E19*F19*D19</f>
        <v>0</v>
      </c>
    </row>
    <row r="20" spans="1:10" x14ac:dyDescent="0.25">
      <c r="A20" s="1">
        <v>45692</v>
      </c>
      <c r="B20" t="s">
        <v>13</v>
      </c>
      <c r="C20" s="2" t="s">
        <v>8</v>
      </c>
      <c r="D20">
        <v>3</v>
      </c>
      <c r="E20" s="2">
        <v>200</v>
      </c>
      <c r="F20" s="2">
        <v>0.05</v>
      </c>
      <c r="G20" s="2">
        <v>120</v>
      </c>
      <c r="H20">
        <f>(E20 - G20) / E20</f>
        <v>0.4</v>
      </c>
      <c r="I20">
        <f>E20*D20</f>
        <v>600</v>
      </c>
      <c r="J20">
        <f>E20*F20*D20</f>
        <v>30</v>
      </c>
    </row>
    <row r="21" spans="1:10" x14ac:dyDescent="0.25">
      <c r="A21" s="1">
        <v>45693</v>
      </c>
      <c r="B21" s="2" t="s">
        <v>7</v>
      </c>
      <c r="C21" t="s">
        <v>10</v>
      </c>
      <c r="D21">
        <v>5</v>
      </c>
      <c r="E21">
        <v>150</v>
      </c>
      <c r="F21">
        <v>0.1</v>
      </c>
      <c r="G21">
        <v>80</v>
      </c>
      <c r="H21">
        <f>(E21 - G21) / E21</f>
        <v>0.46666666666666667</v>
      </c>
      <c r="I21">
        <f>E21*D21</f>
        <v>750</v>
      </c>
      <c r="J21">
        <f>E21*F21*D21</f>
        <v>75</v>
      </c>
    </row>
    <row r="22" spans="1:10" x14ac:dyDescent="0.25">
      <c r="A22" s="1">
        <v>45694</v>
      </c>
      <c r="B22" t="s">
        <v>9</v>
      </c>
      <c r="C22" t="s">
        <v>12</v>
      </c>
      <c r="D22">
        <v>6</v>
      </c>
      <c r="E22">
        <v>100</v>
      </c>
      <c r="F22">
        <v>0</v>
      </c>
      <c r="G22">
        <v>50</v>
      </c>
      <c r="H22">
        <f>(E22 - G22) / E22</f>
        <v>0.5</v>
      </c>
      <c r="I22">
        <f>E22*D22</f>
        <v>600</v>
      </c>
      <c r="J22">
        <f>E22*F22*D22</f>
        <v>0</v>
      </c>
    </row>
    <row r="23" spans="1:10" x14ac:dyDescent="0.25">
      <c r="A23" s="1">
        <v>45695</v>
      </c>
      <c r="B23" t="s">
        <v>11</v>
      </c>
      <c r="C23" s="2" t="s">
        <v>8</v>
      </c>
      <c r="D23">
        <v>7</v>
      </c>
      <c r="E23" s="2">
        <v>200</v>
      </c>
      <c r="F23" s="2">
        <v>0.05</v>
      </c>
      <c r="G23" s="2">
        <v>120</v>
      </c>
      <c r="H23">
        <f>(E23 - G23) / E23</f>
        <v>0.4</v>
      </c>
      <c r="I23">
        <f>E23*D23</f>
        <v>1400</v>
      </c>
      <c r="J23">
        <f>E23*F23*D23</f>
        <v>70</v>
      </c>
    </row>
    <row r="24" spans="1:10" x14ac:dyDescent="0.25">
      <c r="A24" s="1">
        <v>45696</v>
      </c>
      <c r="B24" t="s">
        <v>13</v>
      </c>
      <c r="C24" t="s">
        <v>10</v>
      </c>
      <c r="D24">
        <v>1</v>
      </c>
      <c r="E24">
        <v>150</v>
      </c>
      <c r="F24">
        <v>0.1</v>
      </c>
      <c r="G24">
        <v>80</v>
      </c>
      <c r="H24">
        <f>(E24 - G24) / E24</f>
        <v>0.46666666666666667</v>
      </c>
      <c r="I24">
        <f>E24*D24</f>
        <v>150</v>
      </c>
      <c r="J24">
        <f>E24*F24*D24</f>
        <v>15</v>
      </c>
    </row>
    <row r="25" spans="1:10" x14ac:dyDescent="0.25">
      <c r="A25" s="1">
        <v>45697</v>
      </c>
      <c r="B25" s="2" t="s">
        <v>7</v>
      </c>
      <c r="C25" t="s">
        <v>12</v>
      </c>
      <c r="D25">
        <v>2</v>
      </c>
      <c r="E25">
        <v>100</v>
      </c>
      <c r="F25">
        <v>0</v>
      </c>
      <c r="G25">
        <v>50</v>
      </c>
      <c r="H25">
        <f>(E25 - G25) / E25</f>
        <v>0.5</v>
      </c>
      <c r="I25">
        <f>E25*D25</f>
        <v>200</v>
      </c>
      <c r="J25">
        <f>E25*F25*D25</f>
        <v>0</v>
      </c>
    </row>
    <row r="26" spans="1:10" x14ac:dyDescent="0.25">
      <c r="A26" s="1">
        <v>45698</v>
      </c>
      <c r="B26" t="s">
        <v>9</v>
      </c>
      <c r="C26" s="2" t="s">
        <v>8</v>
      </c>
      <c r="D26">
        <v>5</v>
      </c>
      <c r="E26" s="2">
        <v>200</v>
      </c>
      <c r="F26" s="2">
        <v>0.05</v>
      </c>
      <c r="G26" s="2">
        <v>120</v>
      </c>
      <c r="H26">
        <f>(E26 - G26) / E26</f>
        <v>0.4</v>
      </c>
      <c r="I26">
        <f>E26*D26</f>
        <v>1000</v>
      </c>
      <c r="J26">
        <f>E26*F26*D26</f>
        <v>50</v>
      </c>
    </row>
    <row r="27" spans="1:10" x14ac:dyDescent="0.25">
      <c r="A27" s="1">
        <v>45699</v>
      </c>
      <c r="B27" t="s">
        <v>11</v>
      </c>
      <c r="C27" t="s">
        <v>10</v>
      </c>
      <c r="D27">
        <v>1</v>
      </c>
      <c r="E27">
        <v>150</v>
      </c>
      <c r="F27">
        <v>0.1</v>
      </c>
      <c r="G27">
        <v>80</v>
      </c>
      <c r="H27">
        <f>(E27 - G27) / E27</f>
        <v>0.46666666666666667</v>
      </c>
      <c r="I27">
        <f>E27*D27</f>
        <v>150</v>
      </c>
      <c r="J27">
        <f>E27*F27*D27</f>
        <v>15</v>
      </c>
    </row>
    <row r="28" spans="1:10" x14ac:dyDescent="0.25">
      <c r="A28" s="1">
        <v>45700</v>
      </c>
      <c r="B28" t="s">
        <v>13</v>
      </c>
      <c r="C28" t="s">
        <v>12</v>
      </c>
      <c r="D28">
        <v>7</v>
      </c>
      <c r="E28">
        <v>100</v>
      </c>
      <c r="F28">
        <v>0</v>
      </c>
      <c r="G28">
        <v>50</v>
      </c>
      <c r="H28">
        <f>(E28 - G28) / E28</f>
        <v>0.5</v>
      </c>
      <c r="I28">
        <f>E28*D28</f>
        <v>700</v>
      </c>
      <c r="J28">
        <f>E28*F28*D28</f>
        <v>0</v>
      </c>
    </row>
    <row r="29" spans="1:10" x14ac:dyDescent="0.25">
      <c r="A29" s="1">
        <v>45701</v>
      </c>
      <c r="B29" s="2" t="s">
        <v>7</v>
      </c>
      <c r="C29" s="2" t="s">
        <v>8</v>
      </c>
      <c r="D29">
        <v>4</v>
      </c>
      <c r="E29" s="2">
        <v>200</v>
      </c>
      <c r="F29" s="2">
        <v>0.05</v>
      </c>
      <c r="G29" s="2">
        <v>120</v>
      </c>
      <c r="H29">
        <f>(E29 - G29) / E29</f>
        <v>0.4</v>
      </c>
      <c r="I29">
        <f>E29*D29</f>
        <v>800</v>
      </c>
      <c r="J29">
        <f>E29*F29*D29</f>
        <v>40</v>
      </c>
    </row>
    <row r="30" spans="1:10" x14ac:dyDescent="0.25">
      <c r="A30" s="1">
        <v>45702</v>
      </c>
      <c r="B30" t="s">
        <v>9</v>
      </c>
      <c r="C30" t="s">
        <v>10</v>
      </c>
      <c r="D30">
        <v>3</v>
      </c>
      <c r="E30">
        <v>150</v>
      </c>
      <c r="F30">
        <v>0.1</v>
      </c>
      <c r="G30">
        <v>80</v>
      </c>
      <c r="H30">
        <f>(E30 - G30) / E30</f>
        <v>0.46666666666666667</v>
      </c>
      <c r="I30">
        <f>E30*D30</f>
        <v>450</v>
      </c>
      <c r="J30">
        <f>E30*F30*D30</f>
        <v>45</v>
      </c>
    </row>
    <row r="31" spans="1:10" x14ac:dyDescent="0.25">
      <c r="A31" s="1">
        <v>45703</v>
      </c>
      <c r="B31" t="s">
        <v>9</v>
      </c>
      <c r="C31" t="s">
        <v>12</v>
      </c>
      <c r="D31">
        <v>7</v>
      </c>
      <c r="E31">
        <v>100</v>
      </c>
      <c r="F31">
        <v>0</v>
      </c>
      <c r="G31">
        <v>50</v>
      </c>
      <c r="H31">
        <f>(E31 - G31) / E31</f>
        <v>0.5</v>
      </c>
      <c r="I31">
        <f>E31*D31</f>
        <v>700</v>
      </c>
      <c r="J31">
        <f>E31*F31*D31</f>
        <v>0</v>
      </c>
    </row>
    <row r="32" spans="1:10" x14ac:dyDescent="0.25">
      <c r="A32" s="1">
        <v>45717</v>
      </c>
      <c r="B32" s="2" t="s">
        <v>7</v>
      </c>
      <c r="C32" s="2" t="s">
        <v>8</v>
      </c>
      <c r="D32" s="2">
        <v>10</v>
      </c>
      <c r="E32" s="2">
        <v>200</v>
      </c>
      <c r="F32" s="2">
        <v>0.05</v>
      </c>
      <c r="G32" s="2">
        <v>120</v>
      </c>
      <c r="H32">
        <f>(E32 - G32) / E32</f>
        <v>0.4</v>
      </c>
      <c r="I32">
        <f>E32*D32</f>
        <v>2000</v>
      </c>
      <c r="J32">
        <f>E32*F32*D32</f>
        <v>100</v>
      </c>
    </row>
    <row r="33" spans="1:10" x14ac:dyDescent="0.25">
      <c r="A33" s="1">
        <v>45718</v>
      </c>
      <c r="B33" t="s">
        <v>9</v>
      </c>
      <c r="C33" t="s">
        <v>10</v>
      </c>
      <c r="D33">
        <v>5</v>
      </c>
      <c r="E33">
        <v>150</v>
      </c>
      <c r="F33">
        <v>0.1</v>
      </c>
      <c r="G33">
        <v>80</v>
      </c>
      <c r="H33">
        <f>(E33 - G33) / E33</f>
        <v>0.46666666666666667</v>
      </c>
      <c r="I33">
        <f>E33*D33</f>
        <v>750</v>
      </c>
      <c r="J33">
        <f>E33*F33*D33</f>
        <v>75</v>
      </c>
    </row>
    <row r="34" spans="1:10" x14ac:dyDescent="0.25">
      <c r="A34" s="1">
        <v>45719</v>
      </c>
      <c r="B34" t="s">
        <v>11</v>
      </c>
      <c r="C34" t="s">
        <v>12</v>
      </c>
      <c r="D34">
        <v>1</v>
      </c>
      <c r="E34">
        <v>100</v>
      </c>
      <c r="F34">
        <v>0</v>
      </c>
      <c r="G34">
        <v>50</v>
      </c>
      <c r="H34">
        <f>(E34 - G34) / E34</f>
        <v>0.5</v>
      </c>
      <c r="I34">
        <f>E34*D34</f>
        <v>100</v>
      </c>
      <c r="J34">
        <f>E34*F34*D34</f>
        <v>0</v>
      </c>
    </row>
    <row r="35" spans="1:10" x14ac:dyDescent="0.25">
      <c r="A35" s="1">
        <v>45720</v>
      </c>
      <c r="B35" t="s">
        <v>13</v>
      </c>
      <c r="C35" s="2" t="s">
        <v>8</v>
      </c>
      <c r="D35">
        <v>3</v>
      </c>
      <c r="E35" s="2">
        <v>200</v>
      </c>
      <c r="F35" s="2">
        <v>0.05</v>
      </c>
      <c r="G35" s="2">
        <v>120</v>
      </c>
      <c r="H35">
        <f>(E35 - G35) / E35</f>
        <v>0.4</v>
      </c>
      <c r="I35">
        <f>E35*D35</f>
        <v>600</v>
      </c>
      <c r="J35">
        <f>E35*F35*D35</f>
        <v>30</v>
      </c>
    </row>
    <row r="36" spans="1:10" x14ac:dyDescent="0.25">
      <c r="A36" s="1">
        <v>45721</v>
      </c>
      <c r="B36" s="2" t="s">
        <v>7</v>
      </c>
      <c r="C36" t="s">
        <v>10</v>
      </c>
      <c r="D36">
        <v>5</v>
      </c>
      <c r="E36">
        <v>150</v>
      </c>
      <c r="F36">
        <v>0.1</v>
      </c>
      <c r="G36">
        <v>80</v>
      </c>
      <c r="H36">
        <f>(E36 - G36) / E36</f>
        <v>0.46666666666666667</v>
      </c>
      <c r="I36">
        <f>E36*D36</f>
        <v>750</v>
      </c>
      <c r="J36">
        <f>E36*F36*D36</f>
        <v>75</v>
      </c>
    </row>
    <row r="37" spans="1:10" x14ac:dyDescent="0.25">
      <c r="A37" s="1">
        <v>45722</v>
      </c>
      <c r="B37" t="s">
        <v>9</v>
      </c>
      <c r="C37" t="s">
        <v>12</v>
      </c>
      <c r="D37">
        <v>6</v>
      </c>
      <c r="E37">
        <v>100</v>
      </c>
      <c r="F37">
        <v>0</v>
      </c>
      <c r="G37">
        <v>50</v>
      </c>
      <c r="H37">
        <f>(E37 - G37) / E37</f>
        <v>0.5</v>
      </c>
      <c r="I37">
        <f>E37*D37</f>
        <v>600</v>
      </c>
      <c r="J37">
        <f>E37*F37*D37</f>
        <v>0</v>
      </c>
    </row>
    <row r="38" spans="1:10" x14ac:dyDescent="0.25">
      <c r="A38" s="1">
        <v>45723</v>
      </c>
      <c r="B38" t="s">
        <v>11</v>
      </c>
      <c r="C38" s="2" t="s">
        <v>8</v>
      </c>
      <c r="D38">
        <v>7</v>
      </c>
      <c r="E38" s="2">
        <v>200</v>
      </c>
      <c r="F38" s="2">
        <v>0.05</v>
      </c>
      <c r="G38" s="2">
        <v>120</v>
      </c>
      <c r="H38">
        <f>(E38 - G38) / E38</f>
        <v>0.4</v>
      </c>
      <c r="I38">
        <f>E38*D38</f>
        <v>1400</v>
      </c>
      <c r="J38">
        <f>E38*F38*D38</f>
        <v>70</v>
      </c>
    </row>
    <row r="39" spans="1:10" x14ac:dyDescent="0.25">
      <c r="A39" s="1">
        <v>45724</v>
      </c>
      <c r="B39" t="s">
        <v>13</v>
      </c>
      <c r="C39" t="s">
        <v>10</v>
      </c>
      <c r="D39">
        <v>1</v>
      </c>
      <c r="E39">
        <v>150</v>
      </c>
      <c r="F39">
        <v>0.1</v>
      </c>
      <c r="G39">
        <v>80</v>
      </c>
      <c r="H39">
        <f>(E39 - G39) / E39</f>
        <v>0.46666666666666667</v>
      </c>
      <c r="I39">
        <f>E39*D39</f>
        <v>150</v>
      </c>
      <c r="J39">
        <f>E39*F39*D39</f>
        <v>15</v>
      </c>
    </row>
    <row r="40" spans="1:10" x14ac:dyDescent="0.25">
      <c r="A40" s="1">
        <v>45725</v>
      </c>
      <c r="B40" s="2" t="s">
        <v>7</v>
      </c>
      <c r="C40" t="s">
        <v>12</v>
      </c>
      <c r="D40">
        <v>2</v>
      </c>
      <c r="E40">
        <v>100</v>
      </c>
      <c r="F40">
        <v>0</v>
      </c>
      <c r="G40">
        <v>50</v>
      </c>
      <c r="H40">
        <f>(E40 - G40) / E40</f>
        <v>0.5</v>
      </c>
      <c r="I40">
        <f>E40*D40</f>
        <v>200</v>
      </c>
      <c r="J40">
        <f>E40*F40*D40</f>
        <v>0</v>
      </c>
    </row>
    <row r="41" spans="1:10" x14ac:dyDescent="0.25">
      <c r="A41" s="1">
        <v>45726</v>
      </c>
      <c r="B41" t="s">
        <v>9</v>
      </c>
      <c r="C41" s="2" t="s">
        <v>8</v>
      </c>
      <c r="D41">
        <v>5</v>
      </c>
      <c r="E41" s="2">
        <v>200</v>
      </c>
      <c r="F41" s="2">
        <v>0.05</v>
      </c>
      <c r="G41" s="2">
        <v>120</v>
      </c>
      <c r="H41">
        <f>(E41 - G41) / E41</f>
        <v>0.4</v>
      </c>
      <c r="I41">
        <f>E41*D41</f>
        <v>1000</v>
      </c>
      <c r="J41">
        <f>E41*F41*D41</f>
        <v>50</v>
      </c>
    </row>
    <row r="42" spans="1:10" x14ac:dyDescent="0.25">
      <c r="A42" s="1">
        <v>45727</v>
      </c>
      <c r="B42" t="s">
        <v>11</v>
      </c>
      <c r="C42" t="s">
        <v>10</v>
      </c>
      <c r="D42">
        <v>1</v>
      </c>
      <c r="E42">
        <v>150</v>
      </c>
      <c r="F42">
        <v>0.1</v>
      </c>
      <c r="G42">
        <v>80</v>
      </c>
      <c r="H42">
        <f>(E42 - G42) / E42</f>
        <v>0.46666666666666667</v>
      </c>
      <c r="I42">
        <f>E42*D42</f>
        <v>150</v>
      </c>
      <c r="J42">
        <f>E42*F42*D42</f>
        <v>15</v>
      </c>
    </row>
    <row r="43" spans="1:10" x14ac:dyDescent="0.25">
      <c r="A43" s="1">
        <v>45728</v>
      </c>
      <c r="B43" t="s">
        <v>13</v>
      </c>
      <c r="C43" t="s">
        <v>12</v>
      </c>
      <c r="D43">
        <v>7</v>
      </c>
      <c r="E43">
        <v>100</v>
      </c>
      <c r="F43">
        <v>0</v>
      </c>
      <c r="G43">
        <v>50</v>
      </c>
      <c r="H43">
        <f>(E43 - G43) / E43</f>
        <v>0.5</v>
      </c>
      <c r="I43">
        <f>E43*D43</f>
        <v>700</v>
      </c>
      <c r="J43">
        <f>E43*F43*D43</f>
        <v>0</v>
      </c>
    </row>
    <row r="44" spans="1:10" x14ac:dyDescent="0.25">
      <c r="A44" s="1">
        <v>45729</v>
      </c>
      <c r="B44" s="2" t="s">
        <v>7</v>
      </c>
      <c r="C44" s="2" t="s">
        <v>8</v>
      </c>
      <c r="D44">
        <v>4</v>
      </c>
      <c r="E44" s="2">
        <v>200</v>
      </c>
      <c r="F44" s="2">
        <v>0.05</v>
      </c>
      <c r="G44" s="2">
        <v>120</v>
      </c>
      <c r="H44">
        <f>(E44 - G44) / E44</f>
        <v>0.4</v>
      </c>
      <c r="I44">
        <f>E44*D44</f>
        <v>800</v>
      </c>
      <c r="J44">
        <f>E44*F44*D44</f>
        <v>40</v>
      </c>
    </row>
    <row r="45" spans="1:10" x14ac:dyDescent="0.25">
      <c r="A45" s="1">
        <v>45730</v>
      </c>
      <c r="B45" t="s">
        <v>9</v>
      </c>
      <c r="C45" t="s">
        <v>10</v>
      </c>
      <c r="D45">
        <v>3</v>
      </c>
      <c r="E45">
        <v>150</v>
      </c>
      <c r="F45">
        <v>0.1</v>
      </c>
      <c r="G45">
        <v>80</v>
      </c>
      <c r="H45">
        <f>(E45 - G45) / E45</f>
        <v>0.46666666666666667</v>
      </c>
      <c r="I45">
        <f>E45*D45</f>
        <v>450</v>
      </c>
      <c r="J45">
        <f>E45*F45*D45</f>
        <v>45</v>
      </c>
    </row>
    <row r="46" spans="1:10" x14ac:dyDescent="0.25">
      <c r="A46" s="1">
        <v>45731</v>
      </c>
      <c r="B46" t="s">
        <v>9</v>
      </c>
      <c r="C46" t="s">
        <v>12</v>
      </c>
      <c r="D46">
        <v>7</v>
      </c>
      <c r="E46">
        <v>100</v>
      </c>
      <c r="F46">
        <v>0</v>
      </c>
      <c r="G46">
        <v>50</v>
      </c>
      <c r="H46">
        <f>(E46 - G46) / E46</f>
        <v>0.5</v>
      </c>
      <c r="I46">
        <f>E46*D46</f>
        <v>700</v>
      </c>
      <c r="J46">
        <f>E46*F46*D46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erarReporteCompleto">
                <anchor moveWithCells="1" sizeWithCells="1">
                  <from>
                    <xdr:col>13</xdr:col>
                    <xdr:colOff>476250</xdr:colOff>
                    <xdr:row>8</xdr:row>
                    <xdr:rowOff>47625</xdr:rowOff>
                  </from>
                  <to>
                    <xdr:col>17</xdr:col>
                    <xdr:colOff>238125</xdr:colOff>
                    <xdr:row>14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Resumen</vt:lpstr>
      <vt:lpstr>Ventas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Gianfranco Zattera</dc:creator>
  <cp:lastModifiedBy>Gianfranco Zattera</cp:lastModifiedBy>
  <dcterms:created xsi:type="dcterms:W3CDTF">2025-08-04T13:12:54Z</dcterms:created>
  <dcterms:modified xsi:type="dcterms:W3CDTF">2025-08-04T20:34:37Z</dcterms:modified>
</cp:coreProperties>
</file>